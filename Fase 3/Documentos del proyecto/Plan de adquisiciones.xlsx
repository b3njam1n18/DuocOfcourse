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<sst xmlns="http://schemas.openxmlformats.org/spreadsheetml/2006/main" count="57" uniqueCount="45">
  <si>
    <t>Matriz de Adquisiciones</t>
  </si>
  <si>
    <t>Proyecto:</t>
  </si>
  <si>
    <t>DuocOfCourse</t>
  </si>
  <si>
    <t>ID:</t>
  </si>
  <si>
    <t>Código EDT</t>
  </si>
  <si>
    <t>Estructura de la EDT</t>
  </si>
  <si>
    <t>Tipo de Adquisición</t>
  </si>
  <si>
    <t>Modalidad de Adquisición</t>
  </si>
  <si>
    <t>Fechas Estimadas</t>
  </si>
  <si>
    <t>Presupuesto Estimado</t>
  </si>
  <si>
    <t>Inicio</t>
  </si>
  <si>
    <t>Fin</t>
  </si>
  <si>
    <t>Aplicacion Escritorio, base de datos y página web</t>
  </si>
  <si>
    <t>Software Web</t>
  </si>
  <si>
    <t>1.1.1</t>
  </si>
  <si>
    <t>Duoc OfCourse</t>
  </si>
  <si>
    <t>Servicio de desarrollo de software web</t>
  </si>
  <si>
    <t>Contratación directa</t>
  </si>
  <si>
    <t>1.1.2</t>
  </si>
  <si>
    <t>Paquete de trabajo</t>
  </si>
  <si>
    <t>Diseño y desarrollo de interfaz de usuario</t>
  </si>
  <si>
    <t>1.1.3</t>
  </si>
  <si>
    <t>Implementación de funciones de gestión de ventas</t>
  </si>
  <si>
    <t>1.1.4</t>
  </si>
  <si>
    <t>Pruebas de calidad y usabilidad</t>
  </si>
  <si>
    <t xml:space="preserve">     </t>
  </si>
  <si>
    <t>Aplicación de escritorio</t>
  </si>
  <si>
    <t>1.2.1</t>
  </si>
  <si>
    <t>Duoc OfCourseAdmin</t>
  </si>
  <si>
    <t>Servicio de desarrollo de software desktop</t>
  </si>
  <si>
    <t>1.2.2</t>
  </si>
  <si>
    <t>1.2.3</t>
  </si>
  <si>
    <t>1.2.4</t>
  </si>
  <si>
    <t>Integración BDD</t>
  </si>
  <si>
    <t>1.3.1</t>
  </si>
  <si>
    <t>Base de datos MySQL</t>
  </si>
  <si>
    <t>Servicio alojado en XAMPP</t>
  </si>
  <si>
    <t>Contratacion directa</t>
  </si>
  <si>
    <t>1.3.2</t>
  </si>
  <si>
    <t>Modelamiento</t>
  </si>
  <si>
    <t>1.3.3</t>
  </si>
  <si>
    <t>Script, integración</t>
  </si>
  <si>
    <t>1.3.4</t>
  </si>
  <si>
    <t>Modificaciones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</si>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</sst>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$]#,##0"/>
    <numFmt numFmtId="166" formatCode="dd-mm-yy"/>
    <numFmt numFmtId="167" formatCode="d.m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b/>
      <sz val="11.0"/>
      <color rgb="FFFFFFFF"/>
      <name val="Calibri"/>
    </font>
    <font>
      <color theme="1"/>
      <name val="Calibri"/>
    </font>
    <font>
      <b/>
      <color rgb="FFFFFFFF"/>
      <name val="Corbel"/>
    </font>
    <font>
      <b/>
      <color theme="1"/>
      <name val="Corbel"/>
    </font>
    <font>
      <color theme="1"/>
      <name val="Corbel"/>
    </font>
    <font>
      <b/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5073"/>
        <bgColor rgb="FF005073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</fills>
  <borders count="3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right style="double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2" fontId="2" numFmtId="0" xfId="0" applyAlignment="1" applyBorder="1" applyFill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vertical="bottom"/>
    </xf>
    <xf borderId="9" fillId="3" fontId="4" numFmtId="0" xfId="0" applyAlignment="1" applyBorder="1" applyFill="1" applyFont="1">
      <alignment horizontal="right" vertical="bottom"/>
    </xf>
    <xf borderId="10" fillId="0" fontId="5" numFmtId="0" xfId="0" applyAlignment="1" applyBorder="1" applyFont="1">
      <alignment readingOrder="0" vertical="top"/>
    </xf>
    <xf borderId="11" fillId="0" fontId="3" numFmtId="0" xfId="0" applyBorder="1" applyFont="1"/>
    <xf borderId="12" fillId="0" fontId="3" numFmtId="0" xfId="0" applyBorder="1" applyFont="1"/>
    <xf borderId="13" fillId="3" fontId="4" numFmtId="0" xfId="0" applyAlignment="1" applyBorder="1" applyFont="1">
      <alignment horizontal="right" vertical="bottom"/>
    </xf>
    <xf borderId="14" fillId="2" fontId="5" numFmtId="0" xfId="0" applyAlignment="1" applyBorder="1" applyFont="1">
      <alignment readingOrder="0" vertical="top"/>
    </xf>
    <xf borderId="15" fillId="0" fontId="3" numFmtId="0" xfId="0" applyBorder="1" applyFont="1"/>
    <xf borderId="16" fillId="0" fontId="3" numFmtId="0" xfId="0" applyBorder="1" applyFont="1"/>
    <xf borderId="17" fillId="3" fontId="4" numFmtId="0" xfId="0" applyAlignment="1" applyBorder="1" applyFont="1">
      <alignment horizontal="center" shrinkToFit="0" wrapText="1"/>
    </xf>
    <xf borderId="18" fillId="3" fontId="4" numFmtId="0" xfId="0" applyAlignment="1" applyBorder="1" applyFont="1">
      <alignment horizontal="center" shrinkToFit="0" wrapText="1"/>
    </xf>
    <xf borderId="10" fillId="3" fontId="4" numFmtId="0" xfId="0" applyAlignment="1" applyBorder="1" applyFont="1">
      <alignment horizontal="center" shrinkToFit="0" wrapText="1"/>
    </xf>
    <xf borderId="19" fillId="0" fontId="3" numFmtId="0" xfId="0" applyBorder="1" applyFont="1"/>
    <xf borderId="20" fillId="3" fontId="4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3" fontId="4" numFmtId="0" xfId="0" applyAlignment="1" applyBorder="1" applyFont="1">
      <alignment horizontal="center" shrinkToFit="0" wrapText="1"/>
    </xf>
    <xf borderId="24" fillId="0" fontId="3" numFmtId="0" xfId="0" applyBorder="1" applyFont="1"/>
    <xf borderId="25" fillId="3" fontId="6" numFmtId="0" xfId="0" applyBorder="1" applyFont="1"/>
    <xf borderId="26" fillId="3" fontId="6" numFmtId="0" xfId="0" applyAlignment="1" applyBorder="1" applyFont="1">
      <alignment readingOrder="0" vertical="top"/>
    </xf>
    <xf borderId="26" fillId="3" fontId="1" numFmtId="9" xfId="0" applyAlignment="1" applyBorder="1" applyFont="1" applyNumberFormat="1">
      <alignment vertical="top"/>
    </xf>
    <xf borderId="26" fillId="3" fontId="1" numFmtId="0" xfId="0" applyAlignment="1" applyBorder="1" applyFont="1">
      <alignment vertical="top"/>
    </xf>
    <xf borderId="26" fillId="3" fontId="1" numFmtId="164" xfId="0" applyAlignment="1" applyBorder="1" applyFont="1" applyNumberFormat="1">
      <alignment vertical="top"/>
    </xf>
    <xf borderId="27" fillId="3" fontId="1" numFmtId="164" xfId="0" applyAlignment="1" applyBorder="1" applyFont="1" applyNumberFormat="1">
      <alignment vertical="top"/>
    </xf>
    <xf borderId="25" fillId="4" fontId="7" numFmtId="0" xfId="0" applyBorder="1" applyFill="1" applyFont="1"/>
    <xf borderId="26" fillId="4" fontId="7" numFmtId="0" xfId="0" applyAlignment="1" applyBorder="1" applyFont="1">
      <alignment readingOrder="0" vertical="top"/>
    </xf>
    <xf borderId="26" fillId="4" fontId="1" numFmtId="9" xfId="0" applyAlignment="1" applyBorder="1" applyFont="1" applyNumberFormat="1">
      <alignment vertical="top"/>
    </xf>
    <xf borderId="26" fillId="4" fontId="1" numFmtId="0" xfId="0" applyAlignment="1" applyBorder="1" applyFont="1">
      <alignment vertical="top"/>
    </xf>
    <xf borderId="26" fillId="4" fontId="1" numFmtId="164" xfId="0" applyAlignment="1" applyBorder="1" applyFont="1" applyNumberFormat="1">
      <alignment vertical="top"/>
    </xf>
    <xf borderId="27" fillId="4" fontId="1" numFmtId="164" xfId="0" applyAlignment="1" applyBorder="1" applyFont="1" applyNumberFormat="1">
      <alignment vertical="top"/>
    </xf>
    <xf borderId="25" fillId="5" fontId="8" numFmtId="0" xfId="0" applyBorder="1" applyFill="1" applyFont="1"/>
    <xf borderId="26" fillId="5" fontId="7" numFmtId="0" xfId="0" applyAlignment="1" applyBorder="1" applyFont="1">
      <alignment readingOrder="0"/>
    </xf>
    <xf borderId="26" fillId="5" fontId="8" numFmtId="0" xfId="0" applyAlignment="1" applyBorder="1" applyFont="1">
      <alignment readingOrder="0" shrinkToFit="0" wrapText="1"/>
    </xf>
    <xf borderId="26" fillId="5" fontId="8" numFmtId="0" xfId="0" applyAlignment="1" applyBorder="1" applyFont="1">
      <alignment horizontal="center" shrinkToFit="0" wrapText="1"/>
    </xf>
    <xf borderId="26" fillId="5" fontId="8" numFmtId="164" xfId="0" applyAlignment="1" applyBorder="1" applyFont="1" applyNumberFormat="1">
      <alignment horizontal="center" readingOrder="0" shrinkToFit="0" wrapText="1"/>
    </xf>
    <xf borderId="27" fillId="5" fontId="8" numFmtId="165" xfId="0" applyAlignment="1" applyBorder="1" applyFont="1" applyNumberFormat="1">
      <alignment horizontal="right" readingOrder="0" shrinkToFit="0" wrapText="1"/>
    </xf>
    <xf borderId="0" fillId="6" fontId="1" numFmtId="0" xfId="0" applyFill="1" applyFont="1"/>
    <xf borderId="26" fillId="7" fontId="8" numFmtId="0" xfId="0" applyAlignment="1" applyBorder="1" applyFill="1" applyFont="1">
      <alignment vertical="top"/>
    </xf>
    <xf borderId="26" fillId="7" fontId="1" numFmtId="0" xfId="0" applyAlignment="1" applyBorder="1" applyFont="1">
      <alignment vertical="top"/>
    </xf>
    <xf borderId="26" fillId="7" fontId="1" numFmtId="164" xfId="0" applyAlignment="1" applyBorder="1" applyFont="1" applyNumberFormat="1">
      <alignment vertical="top"/>
    </xf>
    <xf borderId="27" fillId="7" fontId="1" numFmtId="164" xfId="0" applyAlignment="1" applyBorder="1" applyFont="1" applyNumberFormat="1">
      <alignment vertical="top"/>
    </xf>
    <xf borderId="26" fillId="7" fontId="8" numFmtId="0" xfId="0" applyAlignment="1" applyBorder="1" applyFont="1">
      <alignment horizontal="right" shrinkToFit="0" vertical="top" wrapText="1"/>
    </xf>
    <xf borderId="26" fillId="5" fontId="8" numFmtId="166" xfId="0" applyAlignment="1" applyBorder="1" applyFont="1" applyNumberFormat="1">
      <alignment horizontal="center" readingOrder="0" shrinkToFit="0" wrapText="1"/>
    </xf>
    <xf borderId="27" fillId="5" fontId="8" numFmtId="165" xfId="0" applyAlignment="1" applyBorder="1" applyFont="1" applyNumberFormat="1">
      <alignment horizontal="right" readingOrder="0" vertical="top"/>
    </xf>
    <xf borderId="25" fillId="4" fontId="7" numFmtId="167" xfId="0" applyAlignment="1" applyBorder="1" applyFont="1" applyNumberFormat="1">
      <alignment readingOrder="0"/>
    </xf>
    <xf borderId="25" fillId="5" fontId="8" numFmtId="49" xfId="0" applyAlignment="1" applyBorder="1" applyFont="1" applyNumberFormat="1">
      <alignment horizontal="left" readingOrder="0" vertical="top"/>
    </xf>
    <xf borderId="26" fillId="5" fontId="8" numFmtId="0" xfId="0" applyAlignment="1" applyBorder="1" applyFont="1">
      <alignment readingOrder="0"/>
    </xf>
    <xf borderId="26" fillId="7" fontId="8" numFmtId="0" xfId="0" applyAlignment="1" applyBorder="1" applyFont="1">
      <alignment readingOrder="0" vertical="top"/>
    </xf>
    <xf borderId="28" fillId="3" fontId="4" numFmtId="0" xfId="0" applyAlignment="1" applyBorder="1" applyFont="1">
      <alignment horizontal="right" shrinkToFit="0" vertical="top" wrapText="1"/>
    </xf>
    <xf borderId="29" fillId="0" fontId="3" numFmtId="0" xfId="0" applyBorder="1" applyFont="1"/>
    <xf borderId="30" fillId="0" fontId="5" numFmtId="165" xfId="0" applyAlignment="1" applyBorder="1" applyFont="1" applyNumberFormat="1">
      <alignment shrinkToFit="0" vertical="top" wrapText="1"/>
    </xf>
    <xf borderId="31" fillId="0" fontId="1" numFmtId="0" xfId="0" applyAlignment="1" applyBorder="1" applyFont="1">
      <alignment vertical="bottom"/>
    </xf>
    <xf borderId="32" fillId="0" fontId="1" numFmtId="0" xfId="0" applyAlignment="1" applyBorder="1" applyFont="1">
      <alignment vertical="bottom"/>
    </xf>
    <xf borderId="33" fillId="0" fontId="1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5" max="5" width="36.38"/>
  </cols>
  <sheetData>
    <row r="2"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B3" s="2"/>
      <c r="C3" s="3"/>
      <c r="D3" s="3"/>
      <c r="E3" s="3"/>
      <c r="F3" s="3"/>
      <c r="G3" s="3"/>
      <c r="H3" s="3"/>
      <c r="I3" s="3"/>
      <c r="J3" s="4"/>
      <c r="K3" s="1"/>
    </row>
    <row r="4">
      <c r="B4" s="5"/>
      <c r="C4" s="6" t="s">
        <v>0</v>
      </c>
      <c r="D4" s="7"/>
      <c r="E4" s="7"/>
      <c r="F4" s="7"/>
      <c r="G4" s="7"/>
      <c r="H4" s="7"/>
      <c r="I4" s="8"/>
      <c r="J4" s="9"/>
      <c r="K4" s="1"/>
    </row>
    <row r="5">
      <c r="B5" s="5"/>
      <c r="C5" s="1"/>
      <c r="D5" s="1"/>
      <c r="E5" s="1"/>
      <c r="F5" s="1"/>
      <c r="G5" s="1"/>
      <c r="H5" s="1"/>
      <c r="I5" s="1"/>
      <c r="J5" s="9"/>
      <c r="K5" s="1"/>
    </row>
    <row r="6">
      <c r="B6" s="5"/>
      <c r="C6" s="10" t="s">
        <v>1</v>
      </c>
      <c r="D6" s="11" t="s">
        <v>2</v>
      </c>
      <c r="E6" s="12"/>
      <c r="F6" s="12"/>
      <c r="G6" s="12"/>
      <c r="H6" s="12"/>
      <c r="I6" s="13"/>
      <c r="J6" s="9"/>
      <c r="K6" s="1"/>
    </row>
    <row r="7">
      <c r="B7" s="5"/>
      <c r="C7" s="14" t="s">
        <v>3</v>
      </c>
      <c r="D7" s="15"/>
      <c r="E7" s="16"/>
      <c r="F7" s="16"/>
      <c r="G7" s="16"/>
      <c r="H7" s="16"/>
      <c r="I7" s="17"/>
      <c r="J7" s="9"/>
      <c r="K7" s="1"/>
    </row>
    <row r="8">
      <c r="B8" s="5"/>
      <c r="C8" s="1"/>
      <c r="D8" s="1"/>
      <c r="E8" s="1"/>
      <c r="F8" s="1"/>
      <c r="G8" s="1"/>
      <c r="H8" s="1"/>
      <c r="I8" s="1"/>
      <c r="J8" s="9"/>
      <c r="K8" s="1"/>
    </row>
    <row r="9">
      <c r="B9" s="5"/>
      <c r="C9" s="18" t="s">
        <v>4</v>
      </c>
      <c r="D9" s="19" t="s">
        <v>5</v>
      </c>
      <c r="E9" s="19" t="s">
        <v>6</v>
      </c>
      <c r="F9" s="19" t="s">
        <v>7</v>
      </c>
      <c r="G9" s="20" t="s">
        <v>8</v>
      </c>
      <c r="H9" s="21"/>
      <c r="I9" s="22" t="s">
        <v>9</v>
      </c>
      <c r="J9" s="9"/>
      <c r="K9" s="1"/>
    </row>
    <row r="10">
      <c r="B10" s="5"/>
      <c r="C10" s="23"/>
      <c r="D10" s="24"/>
      <c r="E10" s="24"/>
      <c r="F10" s="24"/>
      <c r="G10" s="25" t="s">
        <v>10</v>
      </c>
      <c r="H10" s="25" t="s">
        <v>11</v>
      </c>
      <c r="I10" s="26"/>
      <c r="J10" s="9"/>
      <c r="K10" s="1"/>
    </row>
    <row r="11">
      <c r="B11" s="5"/>
      <c r="C11" s="27">
        <v>1.0</v>
      </c>
      <c r="D11" s="28" t="s">
        <v>12</v>
      </c>
      <c r="E11" s="29"/>
      <c r="F11" s="30"/>
      <c r="G11" s="31"/>
      <c r="H11" s="31"/>
      <c r="I11" s="32"/>
      <c r="J11" s="9"/>
      <c r="K11" s="1"/>
    </row>
    <row r="12">
      <c r="B12" s="5"/>
      <c r="C12" s="33">
        <v>1.1</v>
      </c>
      <c r="D12" s="34" t="s">
        <v>13</v>
      </c>
      <c r="E12" s="35"/>
      <c r="F12" s="36"/>
      <c r="G12" s="37"/>
      <c r="H12" s="37"/>
      <c r="I12" s="38"/>
      <c r="J12" s="9"/>
      <c r="K12" s="1"/>
    </row>
    <row r="13">
      <c r="B13" s="5"/>
      <c r="C13" s="39" t="s">
        <v>14</v>
      </c>
      <c r="D13" s="40" t="s">
        <v>15</v>
      </c>
      <c r="E13" s="41" t="s">
        <v>16</v>
      </c>
      <c r="F13" s="42" t="s">
        <v>17</v>
      </c>
      <c r="G13" s="43">
        <v>45925.0</v>
      </c>
      <c r="H13" s="43">
        <v>45998.0</v>
      </c>
      <c r="I13" s="44">
        <v>3141281.0</v>
      </c>
      <c r="J13" s="9"/>
      <c r="K13" s="45"/>
    </row>
    <row r="14">
      <c r="B14" s="5"/>
      <c r="C14" s="39" t="s">
        <v>18</v>
      </c>
      <c r="D14" s="46" t="s">
        <v>19</v>
      </c>
      <c r="E14" s="46" t="s">
        <v>20</v>
      </c>
      <c r="F14" s="47"/>
      <c r="G14" s="48"/>
      <c r="H14" s="48"/>
      <c r="I14" s="49"/>
      <c r="J14" s="9"/>
      <c r="K14" s="1"/>
    </row>
    <row r="15">
      <c r="B15" s="5"/>
      <c r="C15" s="39" t="s">
        <v>21</v>
      </c>
      <c r="D15" s="46" t="s">
        <v>19</v>
      </c>
      <c r="E15" s="46" t="s">
        <v>22</v>
      </c>
      <c r="F15" s="47"/>
      <c r="G15" s="48"/>
      <c r="H15" s="48"/>
      <c r="I15" s="49"/>
      <c r="J15" s="9"/>
      <c r="K15" s="1"/>
    </row>
    <row r="16">
      <c r="B16" s="5"/>
      <c r="C16" s="39" t="s">
        <v>23</v>
      </c>
      <c r="D16" s="46" t="s">
        <v>19</v>
      </c>
      <c r="E16" s="46" t="s">
        <v>24</v>
      </c>
      <c r="F16" s="50" t="s">
        <v>25</v>
      </c>
      <c r="G16" s="48"/>
      <c r="H16" s="48"/>
      <c r="I16" s="49"/>
      <c r="J16" s="9"/>
      <c r="K16" s="1"/>
    </row>
    <row r="17">
      <c r="B17" s="5"/>
      <c r="C17" s="33">
        <v>1.2</v>
      </c>
      <c r="D17" s="34" t="s">
        <v>26</v>
      </c>
      <c r="E17" s="36"/>
      <c r="F17" s="36"/>
      <c r="G17" s="37"/>
      <c r="H17" s="37"/>
      <c r="I17" s="38"/>
      <c r="J17" s="9"/>
      <c r="K17" s="1"/>
    </row>
    <row r="18">
      <c r="B18" s="5"/>
      <c r="C18" s="39" t="s">
        <v>27</v>
      </c>
      <c r="D18" s="40" t="s">
        <v>28</v>
      </c>
      <c r="E18" s="41" t="s">
        <v>29</v>
      </c>
      <c r="F18" s="42" t="s">
        <v>17</v>
      </c>
      <c r="G18" s="43">
        <v>45925.0</v>
      </c>
      <c r="H18" s="51">
        <v>45998.0</v>
      </c>
      <c r="I18" s="52">
        <v>2792250.0</v>
      </c>
      <c r="J18" s="9"/>
      <c r="K18" s="1"/>
    </row>
    <row r="19">
      <c r="B19" s="5"/>
      <c r="C19" s="39" t="s">
        <v>30</v>
      </c>
      <c r="D19" s="46" t="s">
        <v>19</v>
      </c>
      <c r="E19" s="46" t="s">
        <v>20</v>
      </c>
      <c r="F19" s="47"/>
      <c r="G19" s="48"/>
      <c r="H19" s="48"/>
      <c r="I19" s="49"/>
      <c r="J19" s="9"/>
      <c r="K19" s="1"/>
    </row>
    <row r="20">
      <c r="B20" s="5"/>
      <c r="C20" s="39" t="s">
        <v>31</v>
      </c>
      <c r="D20" s="46" t="s">
        <v>19</v>
      </c>
      <c r="E20" s="46" t="s">
        <v>22</v>
      </c>
      <c r="F20" s="47"/>
      <c r="G20" s="48"/>
      <c r="H20" s="48"/>
      <c r="I20" s="49"/>
      <c r="J20" s="9"/>
      <c r="K20" s="1"/>
    </row>
    <row r="21">
      <c r="B21" s="5"/>
      <c r="C21" s="39" t="s">
        <v>32</v>
      </c>
      <c r="D21" s="46" t="s">
        <v>19</v>
      </c>
      <c r="E21" s="46" t="s">
        <v>24</v>
      </c>
      <c r="F21" s="47"/>
      <c r="G21" s="48"/>
      <c r="H21" s="48"/>
      <c r="I21" s="49"/>
      <c r="J21" s="9"/>
      <c r="K21" s="1"/>
    </row>
    <row r="22">
      <c r="B22" s="5"/>
      <c r="C22" s="53">
        <v>45717.0</v>
      </c>
      <c r="D22" s="34" t="s">
        <v>33</v>
      </c>
      <c r="E22" s="35"/>
      <c r="F22" s="36"/>
      <c r="G22" s="37"/>
      <c r="H22" s="37"/>
      <c r="I22" s="38"/>
      <c r="J22" s="9"/>
      <c r="K22" s="1"/>
    </row>
    <row r="23">
      <c r="B23" s="5"/>
      <c r="C23" s="54" t="s">
        <v>34</v>
      </c>
      <c r="D23" s="40" t="s">
        <v>35</v>
      </c>
      <c r="E23" s="55" t="s">
        <v>36</v>
      </c>
      <c r="F23" s="42" t="s">
        <v>37</v>
      </c>
      <c r="G23" s="43">
        <v>45927.0</v>
      </c>
      <c r="H23" s="43">
        <v>45937.0</v>
      </c>
      <c r="I23" s="52">
        <v>1047094.0</v>
      </c>
      <c r="J23" s="9"/>
      <c r="K23" s="1"/>
    </row>
    <row r="24">
      <c r="B24" s="5"/>
      <c r="C24" s="54" t="s">
        <v>38</v>
      </c>
      <c r="D24" s="46" t="s">
        <v>19</v>
      </c>
      <c r="E24" s="56" t="s">
        <v>39</v>
      </c>
      <c r="F24" s="47"/>
      <c r="G24" s="48"/>
      <c r="H24" s="48"/>
      <c r="I24" s="49"/>
      <c r="J24" s="9"/>
      <c r="K24" s="1"/>
    </row>
    <row r="25">
      <c r="B25" s="5"/>
      <c r="C25" s="54" t="s">
        <v>40</v>
      </c>
      <c r="D25" s="46" t="s">
        <v>19</v>
      </c>
      <c r="E25" s="56" t="s">
        <v>41</v>
      </c>
      <c r="F25" s="47"/>
      <c r="G25" s="48"/>
      <c r="H25" s="48"/>
      <c r="I25" s="49"/>
      <c r="J25" s="9"/>
      <c r="K25" s="1"/>
    </row>
    <row r="26">
      <c r="B26" s="5"/>
      <c r="C26" s="54" t="s">
        <v>42</v>
      </c>
      <c r="D26" s="46" t="s">
        <v>19</v>
      </c>
      <c r="E26" s="56" t="s">
        <v>43</v>
      </c>
      <c r="F26" s="47"/>
      <c r="G26" s="48"/>
      <c r="H26" s="48"/>
      <c r="I26" s="49"/>
      <c r="J26" s="9"/>
      <c r="K26" s="1"/>
    </row>
    <row r="27">
      <c r="B27" s="5"/>
      <c r="C27" s="57" t="s">
        <v>44</v>
      </c>
      <c r="D27" s="16"/>
      <c r="E27" s="16"/>
      <c r="F27" s="16"/>
      <c r="G27" s="16"/>
      <c r="H27" s="58"/>
      <c r="I27" s="59">
        <f>SUM(I11:I26)</f>
        <v>6980625</v>
      </c>
      <c r="J27" s="9"/>
      <c r="K27" s="1"/>
    </row>
    <row r="28">
      <c r="B28" s="60"/>
      <c r="C28" s="61"/>
      <c r="D28" s="61"/>
      <c r="E28" s="61"/>
      <c r="F28" s="61"/>
      <c r="G28" s="61"/>
      <c r="H28" s="61"/>
      <c r="I28" s="61"/>
      <c r="J28" s="62"/>
      <c r="K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B30" s="1"/>
      <c r="C30" s="1"/>
      <c r="D30" s="63"/>
      <c r="E30" s="1"/>
      <c r="F30" s="1"/>
      <c r="G30" s="1"/>
      <c r="H30" s="1"/>
      <c r="I30" s="1"/>
      <c r="J30" s="1"/>
      <c r="K30" s="1"/>
    </row>
    <row r="31">
      <c r="B31" s="1"/>
      <c r="C31" s="1"/>
      <c r="D31" s="64"/>
      <c r="E31" s="1"/>
      <c r="F31" s="1"/>
      <c r="G31" s="1"/>
      <c r="H31" s="1"/>
      <c r="I31" s="1"/>
      <c r="J31" s="1"/>
      <c r="K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mergeCells count="10">
    <mergeCell ref="G9:H9"/>
    <mergeCell ref="I9:I10"/>
    <mergeCell ref="C4:I4"/>
    <mergeCell ref="D6:I6"/>
    <mergeCell ref="D7:I7"/>
    <mergeCell ref="C9:C10"/>
    <mergeCell ref="D9:D10"/>
    <mergeCell ref="E9:E10"/>
    <mergeCell ref="F9:F10"/>
    <mergeCell ref="C27:H27"/>
  </mergeCells>
  <drawing r:id="rId1"/>
</worksheet>
</file>